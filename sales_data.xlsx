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activeTab="2"/>
  </bookViews>
  <sheets>
    <sheet name="sales_data" sheetId="1" r:id="rId1"/>
    <sheet name="Analysis" sheetId="2" r:id="rId2"/>
    <sheet name="Sales_Dashboard" sheetId="9" r:id="rId3"/>
  </sheets>
  <definedNames>
    <definedName name="_xlnm._FilterDatabase" localSheetId="0" hidden="1">sales_data!$A$1:$F$11</definedName>
    <definedName name="_xlnm.Print_Area" localSheetId="2">Sales_Dashboard!$B$1:$L$36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<sst xmlns="http://schemas.openxmlformats.org/spreadsheetml/2006/main" count="46" uniqueCount="22">
  <si>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Order_ID</t>
  </si>
  <si>
    <t>Product</t>
  </si>
  <si>
    <t>Region</t>
  </si>
  <si>
    <t>Quantity</t>
  </si>
  <si>
    <t>Unit_Price</t>
  </si>
  <si>
    <t>Total_Sales</t>
  </si>
  <si>
    <t>Keyboard</t>
  </si>
  <si>
    <t>East</t>
  </si>
  <si>
    <t>Mouse</t>
  </si>
  <si>
    <t>Laptop</t>
  </si>
  <si>
    <t>North</t>
  </si>
  <si>
    <t>Monitor</t>
  </si>
  <si>
    <t>Headphones</t>
  </si>
  <si>
    <t>South</t>
  </si>
  <si>
    <t>West</t>
  </si>
  <si>
    <t>Total Revenue</t>
  </si>
  <si>
    <t>Highest Revenue</t>
  </si>
  <si>
    <t>Lowest Revenue</t>
  </si>
  <si>
    <t>Average Revenue</t>
  </si>
  <si>
    <t>Number of Orders</t>
  </si>
  <si>
    <t>Sum of Total_Sales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</si>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</sst>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[sales_data.xlsx]Sales_Dashboard!PivotTable2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Region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Sales_Dashboard!$E$6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Sales_Dashboard!$D$7:$D$11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Sales_Dashboard!$E$7:$E$11</c:f>
              <c:numCache>
                <c:formatCode>General</c:formatCode>
                <c:ptCount val="4"/>
                <c:pt idx="0">
                  <c:v>50</c:v>
                </c:pt>
                <c:pt idx="1">
                  <c:v>1350</c:v>
                </c:pt>
                <c:pt idx="2">
                  <c:v>1790</c:v>
                </c:pt>
                <c:pt idx="3">
                  <c:v>230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39144890"/>
        <c:axId val="324247006"/>
      </c:barChart>
      <c:catAx>
        <c:axId val="2391448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247006"/>
        <c:crosses val="autoZero"/>
        <c:auto val="1"/>
        <c:lblAlgn val="ctr"/>
        <c:lblOffset val="100"/>
        <c:noMultiLvlLbl val="0"/>
      </c:catAx>
      <c:valAx>
        <c:axId val="3242470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1448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[sales_data.xlsx]Sales_Dashboard!PivotTable3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Product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Sales_Dashboard!$J$6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Sales_Dashboard!$I$7:$I$12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Sales_Dashboard!$J$7:$J$12</c:f>
              <c:numCache>
                <c:formatCode>General</c:formatCode>
                <c:ptCount val="5"/>
                <c:pt idx="0">
                  <c:v>300</c:v>
                </c:pt>
                <c:pt idx="1">
                  <c:v>60</c:v>
                </c:pt>
                <c:pt idx="2">
                  <c:v>2400</c:v>
                </c:pt>
                <c:pt idx="3">
                  <c:v>600</c:v>
                </c:pt>
                <c:pt idx="4">
                  <c:v>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01550898"/>
        <c:axId val="685310271"/>
      </c:barChart>
      <c:catAx>
        <c:axId val="2015508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5310271"/>
        <c:crosses val="autoZero"/>
        <c:auto val="1"/>
        <c:lblAlgn val="ctr"/>
        <c:lblOffset val="100"/>
        <c:noMultiLvlLbl val="0"/>
      </c:catAx>
      <c:valAx>
        <c:axId val="6853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5508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452120</xdr:colOff>
      <xdr:row>12</xdr:row>
      <xdr:rowOff>157480</xdr:rowOff>
    </xdr:from>
    <xdr:to>
      <xdr:col>6</xdr:col>
      <xdr:colOff>196215</xdr:colOff>
      <xdr:row>26</xdr:row>
      <xdr:rowOff>58420</xdr:rowOff>
    </xdr:to>
    <xdr:graphicFrame>
      <xdr:nvGraphicFramePr>
        <xdr:cNvPr id="2" name="Chart 1"/>
        <xdr:cNvGraphicFramePr/>
      </xdr:nvGraphicFramePr>
      <xdr:xfrm>
        <a:off x="1061720" y="2352040"/>
        <a:ext cx="3645535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322580</xdr:colOff>
      <xdr:row>12</xdr:row>
      <xdr:rowOff>177800</xdr:rowOff>
    </xdr:from>
    <xdr:to>
      <xdr:col>11</xdr:col>
      <xdr:colOff>165735</xdr:colOff>
      <xdr:row>25</xdr:row>
      <xdr:rowOff>147955</xdr:rowOff>
    </xdr:to>
    <xdr:graphicFrame>
      <xdr:nvGraphicFramePr>
        <xdr:cNvPr id="3" name="Chart 2"/>
        <xdr:cNvGraphicFramePr/>
      </xdr:nvGraphicFramePr>
      <xdr:xfrm>
        <a:off x="4833620" y="2372360"/>
        <a:ext cx="3767455" cy="2347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27</xdr:row>
      <xdr:rowOff>68580</xdr:rowOff>
    </xdr:from>
    <xdr:to>
      <xdr:col>10</xdr:col>
      <xdr:colOff>0</xdr:colOff>
      <xdr:row>35</xdr:row>
      <xdr:rowOff>8255</xdr:rowOff>
    </xdr:to>
    <xdr:sp>
      <xdr:nvSpPr>
        <xdr:cNvPr id="4" name="Text Box 3"/>
        <xdr:cNvSpPr txBox="1"/>
      </xdr:nvSpPr>
      <xdr:spPr>
        <a:xfrm>
          <a:off x="2628900" y="5006340"/>
          <a:ext cx="5196840" cy="1402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just"/>
          <a:r>
            <a:rPr lang="en-US">
              <a:sym typeface="+mn-ea"/>
            </a:rPr>
            <a:t>** South region generates the highest revenue, so focusing more marketing or inventory here may increase profit.</a:t>
          </a:r>
          <a:endParaRPr lang="en-US" sz="1100"/>
        </a:p>
        <a:p>
          <a:pPr algn="just"/>
          <a:endParaRPr lang="en-US" sz="1100"/>
        </a:p>
        <a:p>
          <a:pPr algn="l"/>
          <a:r>
            <a:rPr lang="en-US">
              <a:sym typeface="+mn-ea"/>
            </a:rPr>
            <a:t>**Laptop is the top-performing product, contributing the largest share of revenue. Bundling accessories like mouse/keyboard may boost sales further.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>
              <a:sym typeface="+mn-ea"/>
            </a:rPr>
            <a:t>**we can upbring the inventory like laptops in the East or West region</a:t>
          </a:r>
          <a:endParaRPr lang="en-US" sz="1100"/>
        </a:p>
      </xdr:txBody>
    </xdr:sp>
    <xdr:clientData/>
  </xdr:twoCellAnchor>
  <xdr:twoCellAnchor>
    <xdr:from>
      <xdr:col>4</xdr:col>
      <xdr:colOff>1043940</xdr:colOff>
      <xdr:row>0</xdr:row>
      <xdr:rowOff>91440</xdr:rowOff>
    </xdr:from>
    <xdr:to>
      <xdr:col>8</xdr:col>
      <xdr:colOff>594360</xdr:colOff>
      <xdr:row>2</xdr:row>
      <xdr:rowOff>53975</xdr:rowOff>
    </xdr:to>
    <xdr:sp>
      <xdr:nvSpPr>
        <xdr:cNvPr id="5" name="Text Box 4"/>
        <xdr:cNvSpPr txBox="1"/>
      </xdr:nvSpPr>
      <xdr:spPr>
        <a:xfrm>
          <a:off x="3672840" y="91440"/>
          <a:ext cx="2651760" cy="328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800" b="1"/>
            <a:t>Sales Insights Dashboard</a:t>
          </a:r>
          <a:endParaRPr lang="en-US" sz="1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0.5122685185" refreshedBy="USER" recordCount="10">
  <cacheSource type="worksheet">
    <worksheetSource ref="A1:F11" sheet="sales_data"/>
  </cacheSource>
  <cacheFields count="6">
    <cacheField name="Order_ID" numFmtId="0">
      <sharedItems containsSemiMixedTypes="0" containsString="0" containsNumber="1" containsInteger="1" minValue="1001" maxValue="1010" count="10">
        <n v="1003"/>
        <n v="1007"/>
        <n v="1001"/>
        <n v="1009"/>
        <n v="1005"/>
        <n v="1006"/>
        <n v="1010"/>
        <n v="1002"/>
        <n v="1004"/>
        <n v="1008"/>
      </sharedItems>
    </cacheField>
    <cacheField name="Product" numFmtId="0">
      <sharedItems count="5">
        <s v="Keyboard"/>
        <s v="Mouse"/>
        <s v="Laptop"/>
        <s v="Monitor"/>
        <s v="Headphones"/>
      </sharedItems>
    </cacheField>
    <cacheField name="Region" numFmtId="0">
      <sharedItems count="4">
        <s v="East"/>
        <s v="North"/>
        <s v="South"/>
        <s v="West"/>
      </sharedItems>
    </cacheField>
    <cacheField name="Quantity" numFmtId="0">
      <sharedItems containsSemiMixedTypes="0" containsString="0" containsNumber="1" containsInteger="1" minValue="1" maxValue="3" count="3">
        <n v="1"/>
        <n v="2"/>
        <n v="3"/>
      </sharedItems>
    </cacheField>
    <cacheField name="Unit_Price" numFmtId="0">
      <sharedItems containsSemiMixedTypes="0" containsString="0" containsNumber="1" containsInteger="1" minValue="20" maxValue="800" count="5">
        <n v="30"/>
        <n v="20"/>
        <n v="800"/>
        <n v="200"/>
        <n v="50"/>
      </sharedItems>
    </cacheField>
    <cacheField name="Total_Sales" numFmtId="0">
      <sharedItems containsSemiMixedTypes="0" containsString="0" containsNumber="1" containsInteger="1" minValue="20" maxValue="1600" count="8">
        <n v="30"/>
        <n v="20"/>
        <n v="800"/>
        <n v="400"/>
        <n v="150"/>
        <n v="1600"/>
        <n v="40"/>
        <n v="2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</r>
  <r>
    <x v="1"/>
    <x v="1"/>
    <x v="0"/>
    <x v="0"/>
    <x v="1"/>
    <x v="1"/>
  </r>
  <r>
    <x v="2"/>
    <x v="2"/>
    <x v="1"/>
    <x v="0"/>
    <x v="2"/>
    <x v="2"/>
  </r>
  <r>
    <x v="3"/>
    <x v="3"/>
    <x v="1"/>
    <x v="1"/>
    <x v="3"/>
    <x v="3"/>
  </r>
  <r>
    <x v="4"/>
    <x v="4"/>
    <x v="1"/>
    <x v="2"/>
    <x v="4"/>
    <x v="4"/>
  </r>
  <r>
    <x v="5"/>
    <x v="2"/>
    <x v="2"/>
    <x v="1"/>
    <x v="2"/>
    <x v="5"/>
  </r>
  <r>
    <x v="6"/>
    <x v="4"/>
    <x v="2"/>
    <x v="2"/>
    <x v="4"/>
    <x v="4"/>
  </r>
  <r>
    <x v="7"/>
    <x v="1"/>
    <x v="2"/>
    <x v="1"/>
    <x v="1"/>
    <x v="6"/>
  </r>
  <r>
    <x v="8"/>
    <x v="3"/>
    <x v="3"/>
    <x v="0"/>
    <x v="3"/>
    <x v="7"/>
  </r>
  <r>
    <x v="9"/>
    <x v="0"/>
    <x v="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6:E11" firstHeaderRow="1" firstDataRow="1" firstDataCol="1"/>
  <pivotFields count="6">
    <pivotField compact="0" showAll="0"/>
    <pivotField compact="0" showAll="0"/>
    <pivotField axis="axisRow" compact="0" sortType="ascending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dataField="1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6:J12" firstHeaderRow="1" firstDataRow="1" firstDataCol="1"/>
  <pivotFields count="6">
    <pivotField compact="0" showAll="0"/>
    <pivotField axis="axisRow" compact="0" sortType="ascending" showAll="0">
      <items count="6">
        <item x="4"/>
        <item x="0"/>
        <item x="2"/>
        <item x="3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SheetLayoutView="60" workbookViewId="0">
      <selection activeCell="A1" sqref="A1:F11"/>
    </sheetView>
  </sheetViews>
  <sheetFormatPr defaultColWidth="10" defaultRowHeight="14.4" outlineLevelCol="5"/>
  <cols>
    <col min="2" max="2" width="11.1111111111111" customWidth="1"/>
    <col min="5" max="5" width="12.3333333333333" customWidth="1"/>
    <col min="6" max="6" width="14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1003</v>
      </c>
      <c r="B2" t="s">
        <v>6</v>
      </c>
      <c r="C2" t="s">
        <v>7</v>
      </c>
      <c r="D2">
        <v>1</v>
      </c>
      <c r="E2">
        <v>30</v>
      </c>
      <c r="F2">
        <v>30</v>
      </c>
    </row>
    <row r="3" spans="1:6">
      <c r="A3">
        <v>1007</v>
      </c>
      <c r="B3" t="s">
        <v>8</v>
      </c>
      <c r="C3" t="s">
        <v>7</v>
      </c>
      <c r="D3">
        <v>1</v>
      </c>
      <c r="E3">
        <v>20</v>
      </c>
      <c r="F3">
        <v>20</v>
      </c>
    </row>
    <row r="4" spans="1:6">
      <c r="A4">
        <v>1001</v>
      </c>
      <c r="B4" t="s">
        <v>9</v>
      </c>
      <c r="C4" t="s">
        <v>10</v>
      </c>
      <c r="D4">
        <v>1</v>
      </c>
      <c r="E4">
        <v>800</v>
      </c>
      <c r="F4">
        <v>800</v>
      </c>
    </row>
    <row r="5" spans="1:6">
      <c r="A5">
        <v>1009</v>
      </c>
      <c r="B5" t="s">
        <v>11</v>
      </c>
      <c r="C5" t="s">
        <v>10</v>
      </c>
      <c r="D5">
        <v>2</v>
      </c>
      <c r="E5">
        <v>200</v>
      </c>
      <c r="F5">
        <v>400</v>
      </c>
    </row>
    <row r="6" spans="1:6">
      <c r="A6">
        <v>1005</v>
      </c>
      <c r="B6" t="s">
        <v>12</v>
      </c>
      <c r="C6" t="s">
        <v>10</v>
      </c>
      <c r="D6">
        <v>3</v>
      </c>
      <c r="E6">
        <v>50</v>
      </c>
      <c r="F6">
        <v>150</v>
      </c>
    </row>
    <row r="7" spans="1:6">
      <c r="A7">
        <v>1006</v>
      </c>
      <c r="B7" t="s">
        <v>9</v>
      </c>
      <c r="C7" t="s">
        <v>13</v>
      </c>
      <c r="D7">
        <v>2</v>
      </c>
      <c r="E7">
        <v>800</v>
      </c>
      <c r="F7">
        <v>1600</v>
      </c>
    </row>
    <row r="8" spans="1:6">
      <c r="A8">
        <v>1010</v>
      </c>
      <c r="B8" t="s">
        <v>12</v>
      </c>
      <c r="C8" t="s">
        <v>13</v>
      </c>
      <c r="D8">
        <v>3</v>
      </c>
      <c r="E8">
        <v>50</v>
      </c>
      <c r="F8">
        <v>150</v>
      </c>
    </row>
    <row r="9" spans="1:6">
      <c r="A9">
        <v>1002</v>
      </c>
      <c r="B9" t="s">
        <v>8</v>
      </c>
      <c r="C9" t="s">
        <v>13</v>
      </c>
      <c r="D9">
        <v>2</v>
      </c>
      <c r="E9">
        <v>20</v>
      </c>
      <c r="F9">
        <v>40</v>
      </c>
    </row>
    <row r="10" spans="1:6">
      <c r="A10">
        <v>1004</v>
      </c>
      <c r="B10" t="s">
        <v>11</v>
      </c>
      <c r="C10" t="s">
        <v>14</v>
      </c>
      <c r="D10">
        <v>1</v>
      </c>
      <c r="E10">
        <v>200</v>
      </c>
      <c r="F10">
        <v>200</v>
      </c>
    </row>
    <row r="11" spans="1:6">
      <c r="A11">
        <v>1008</v>
      </c>
      <c r="B11" t="s">
        <v>6</v>
      </c>
      <c r="C11" t="s">
        <v>14</v>
      </c>
      <c r="D11">
        <v>1</v>
      </c>
      <c r="E11">
        <v>30</v>
      </c>
      <c r="F11">
        <v>30</v>
      </c>
    </row>
    <row r="12" spans="5:6">
      <c r="E12" s="3"/>
      <c r="F12" s="3"/>
    </row>
  </sheetData>
  <autoFilter xmlns:etc="http://www.wps.cn/officeDocument/2017/etCustomData" ref="A1:F11" etc:filterBottomFollowUsedRange="0">
    <sortState ref="A1:F11">
      <sortCondition ref="C1"/>
    </sortState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J14"/>
  <sheetViews>
    <sheetView workbookViewId="0">
      <selection activeCell="D12" sqref="D12"/>
    </sheetView>
  </sheetViews>
  <sheetFormatPr defaultColWidth="8.88888888888889" defaultRowHeight="14.4"/>
  <sheetData>
    <row r="4" ht="28.8" spans="3:5">
      <c r="C4" s="1" t="s">
        <v>15</v>
      </c>
      <c r="D4" s="2">
        <f>SUM(sales_data!F2:F11)</f>
        <v>3420</v>
      </c>
      <c r="E4" s="1"/>
    </row>
    <row r="5" ht="28.8" spans="3:5">
      <c r="C5" s="1" t="s">
        <v>16</v>
      </c>
      <c r="D5" s="1">
        <f>MAX(sales_data!F2:F11)</f>
        <v>1600</v>
      </c>
      <c r="E5" s="1"/>
    </row>
    <row r="6" ht="28.8" spans="3:5">
      <c r="C6" s="1" t="s">
        <v>17</v>
      </c>
      <c r="D6" s="1">
        <f>MIN(sales_data!F2:F11)</f>
        <v>20</v>
      </c>
      <c r="E6" s="1"/>
    </row>
    <row r="7" ht="28.8" spans="3:5">
      <c r="C7" s="1" t="s">
        <v>18</v>
      </c>
      <c r="D7" s="1">
        <f>AVERAGE(sales_data!F2:F11)</f>
        <v>342</v>
      </c>
      <c r="E7" s="1"/>
    </row>
    <row r="8" ht="28.8" spans="3:4">
      <c r="C8" s="1" t="s">
        <v>19</v>
      </c>
      <c r="D8">
        <f>COUNT(sales_data!A2:A11)</f>
        <v>10</v>
      </c>
    </row>
    <row r="10" spans="9:10">
      <c r="I10" s="1"/>
      <c r="J10" s="1"/>
    </row>
    <row r="11" spans="9:10">
      <c r="I11" s="1"/>
      <c r="J11" s="1"/>
    </row>
    <row r="12" spans="9:10">
      <c r="I12" s="1"/>
      <c r="J12" s="1"/>
    </row>
    <row r="13" spans="9:10">
      <c r="I13" s="1"/>
      <c r="J13" s="1"/>
    </row>
    <row r="14" spans="9:9">
      <c r="I14" s="1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J12"/>
  <sheetViews>
    <sheetView showGridLines="0" tabSelected="1" view="pageBreakPreview" zoomScaleNormal="100" workbookViewId="0">
      <selection activeCell="H5" sqref="H5"/>
    </sheetView>
  </sheetViews>
  <sheetFormatPr defaultColWidth="8.88888888888889" defaultRowHeight="14.4"/>
  <cols>
    <col min="4" max="4" width="11.6666666666667"/>
    <col min="5" max="5" width="18.5555555555556"/>
    <col min="9" max="9" width="12"/>
    <col min="10" max="10" width="18.5555555555556"/>
  </cols>
  <sheetData>
    <row r="6" spans="4:10">
      <c r="D6" t="s">
        <v>2</v>
      </c>
      <c r="E6" t="s">
        <v>20</v>
      </c>
      <c r="F6"/>
      <c r="I6" t="s">
        <v>1</v>
      </c>
      <c r="J6" t="s">
        <v>20</v>
      </c>
    </row>
    <row r="7" spans="4:10">
      <c r="D7" t="s">
        <v>7</v>
      </c>
      <c r="E7">
        <v>50</v>
      </c>
      <c r="F7"/>
      <c r="I7" t="s">
        <v>12</v>
      </c>
      <c r="J7">
        <v>300</v>
      </c>
    </row>
    <row r="8" spans="4:10">
      <c r="D8" t="s">
        <v>10</v>
      </c>
      <c r="E8">
        <v>1350</v>
      </c>
      <c r="F8"/>
      <c r="I8" t="s">
        <v>6</v>
      </c>
      <c r="J8">
        <v>60</v>
      </c>
    </row>
    <row r="9" spans="4:10">
      <c r="D9" t="s">
        <v>13</v>
      </c>
      <c r="E9">
        <v>1790</v>
      </c>
      <c r="F9"/>
      <c r="I9" t="s">
        <v>9</v>
      </c>
      <c r="J9">
        <v>2400</v>
      </c>
    </row>
    <row r="10" spans="4:10">
      <c r="D10" t="s">
        <v>14</v>
      </c>
      <c r="E10">
        <v>230</v>
      </c>
      <c r="F10"/>
      <c r="I10" t="s">
        <v>11</v>
      </c>
      <c r="J10">
        <v>600</v>
      </c>
    </row>
    <row r="11" spans="4:10">
      <c r="D11" t="s">
        <v>21</v>
      </c>
      <c r="E11">
        <v>3420</v>
      </c>
      <c r="F11"/>
      <c r="I11" t="s">
        <v>8</v>
      </c>
      <c r="J11">
        <v>60</v>
      </c>
    </row>
    <row r="12" spans="9:10">
      <c r="I12" t="s">
        <v>21</v>
      </c>
      <c r="J12">
        <v>3420</v>
      </c>
    </row>
  </sheetData>
  <pageMargins left="0.75" right="0.75" top="1" bottom="1" header="0.5" footer="0.5"/>
  <pageSetup paperSize="1" scale="72" orientation="portrait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sales_data</vt:lpstr>
      <vt:lpstr>Analysis</vt:lpstr>
      <vt:lpstr>Sales_Dashboard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Jahid Shikder</cp:lastModifiedBy>
  <dcterms:created xsi:type="dcterms:W3CDTF">2025-10-30T05:30:00Z</dcterms:created>
  <dcterms:modified xsi:type="dcterms:W3CDTF">2025-10-30T16:01:49Z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84560D6D50774F30BD3951846CFE8D85_13</vt:lpwstr>
  </property>
  <property fmtid="{D5CDD505-2E9C-101B-9397-08002B2CF9AE}" pid="3" name="KSOProductBuildVer">
    <vt:lpwstr>1033-12.2.0.23131</vt:lpwstr>
  </property>
</Properties>
</file>